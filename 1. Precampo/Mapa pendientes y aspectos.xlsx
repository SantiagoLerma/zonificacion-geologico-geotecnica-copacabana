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<sst xmlns="http://schemas.openxmlformats.org/spreadsheetml/2006/main" count="23" uniqueCount="20">
  <si>
    <t>Aspecto</t>
  </si>
  <si>
    <t>Área (m^2)</t>
  </si>
  <si>
    <t>Área (Km^2)</t>
  </si>
  <si>
    <t>Horizontal</t>
  </si>
  <si>
    <t>Norte</t>
  </si>
  <si>
    <t>Noroeste</t>
  </si>
  <si>
    <t>Oeste</t>
  </si>
  <si>
    <t>Suroeste</t>
  </si>
  <si>
    <t>Sur</t>
  </si>
  <si>
    <t>Sureste</t>
  </si>
  <si>
    <t>Este</t>
  </si>
  <si>
    <t>Noreste</t>
  </si>
  <si>
    <t>Total</t>
  </si>
  <si>
    <t>Link:</t>
  </si>
  <si>
    <t>Pendiente (°)</t>
  </si>
  <si>
    <t>Planicie</t>
  </si>
  <si>
    <t>Vertiente suave</t>
  </si>
  <si>
    <t>Vertiente moderada</t>
  </si>
  <si>
    <t>Vertiente empinada</t>
  </si>
  <si>
    <t>Escarpe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</si>
</sst>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00"/>
    <numFmt numFmtId="165" formatCode="#,##0.00000"/>
    <numFmt numFmtId="166" formatCode="0.000000"/>
    <numFmt numFmtId="167" formatCode="0.0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Área (Km^2) vs. Aspecto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Sheet1!$D$3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666666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FF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900FF"/>
              </a:solidFill>
              <a:ln cmpd="sng">
                <a:noFill/>
              </a:ln>
            </c:spPr>
          </c:dPt>
          <c:dPt>
            <c:idx val="4"/>
          </c:dPt>
          <c:dPt>
            <c:idx val="5"/>
            <c:spPr>
              <a:solidFill>
                <a:srgbClr val="00FFFF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FF00"/>
              </a:solidFill>
              <a:ln cmpd="sng">
                <a:noFill/>
              </a:ln>
            </c:spPr>
          </c:dPt>
          <c:dPt>
            <c:idx val="8"/>
            <c:spPr>
              <a:solidFill>
                <a:srgbClr val="FF9900"/>
              </a:solidFill>
              <a:ln cmpd="sng">
                <a:noFill/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0.5%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6.8%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12.6%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5.3%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7.9%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>
                        <a:solidFill>
                          <a:schemeClr val="accent6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chemeClr val="accent6"/>
                        </a:solidFill>
                        <a:latin typeface="Roboto"/>
                      </a:rPr>
                      <a:t>13.3%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23.7%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BF9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BF9000"/>
                        </a:solidFill>
                        <a:latin typeface="Roboto"/>
                      </a:rPr>
                      <a:t>24.8%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 4.8%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Sheet1!$B$4:$B$12</c:f>
            </c:strRef>
          </c:cat>
          <c:val>
            <c:numRef>
              <c:f>Sheet1!$D$4:$D$12</c:f>
              <c:numCache/>
            </c:numRef>
          </c:val>
        </c:ser>
        <c:axId val="1262722123"/>
        <c:axId val="2095484102"/>
      </c:barChart>
      <c:catAx>
        <c:axId val="1262722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Aspecto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484102"/>
      </c:catAx>
      <c:valAx>
        <c:axId val="2095484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 (Km^2)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722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Sheet1!$B$4:$B$12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Área (Km^2) vs. Pendiente (°)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Sheet1!$D$21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Sheet1!$B$22:$B$26</c:f>
            </c:strRef>
          </c:cat>
          <c:val>
            <c:numRef>
              <c:f>Sheet1!$D$22:$D$26</c:f>
              <c:numCache/>
            </c:numRef>
          </c:val>
        </c:ser>
        <c:axId val="68486486"/>
        <c:axId val="1348950828"/>
      </c:barChart>
      <c:catAx>
        <c:axId val="68486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Pendiente (°)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950828"/>
      </c:catAx>
      <c:valAx>
        <c:axId val="1348950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Área (Km^2)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86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Área (Km^2)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Sheet1!$D$21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Sheet1!$B$22:$B$26</c:f>
            </c:strRef>
          </c:cat>
          <c:val>
            <c:numRef>
              <c:f>Sheet1!$D$22:$D$26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0</xdr:row>
      <xdr:rowOff>142875</xdr:rowOff>
    </xdr:from>
    <xdr:ext cx="462915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466725</xdr:colOff>
      <xdr:row>0</xdr:row>
      <xdr:rowOff>142875</xdr:rowOff>
    </xdr:from>
    <xdr:ext cx="4886325" cy="3028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838200</xdr:colOff>
      <xdr:row>18</xdr:row>
      <xdr:rowOff>114300</xdr:rowOff>
    </xdr:from>
    <xdr:ext cx="462915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266700</xdr:colOff>
      <xdr:row>17</xdr:row>
      <xdr:rowOff>180975</xdr:rowOff>
    </xdr:from>
    <xdr:ext cx="5381625" cy="3324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6.5"/>
  </cols>
  <sheetData>
    <row r="3">
      <c r="B3" s="1" t="s">
        <v>0</v>
      </c>
      <c r="C3" s="1" t="s">
        <v>1</v>
      </c>
      <c r="D3" s="1" t="s">
        <v>2</v>
      </c>
    </row>
    <row r="4">
      <c r="B4" s="2" t="s">
        <v>3</v>
      </c>
      <c r="C4" s="3">
        <v>74514.019485</v>
      </c>
      <c r="D4" s="4">
        <f t="shared" ref="D4:D12" si="1">C4/1000000</f>
        <v>0.07451401949</v>
      </c>
    </row>
    <row r="5">
      <c r="B5" s="2" t="s">
        <v>4</v>
      </c>
      <c r="C5" s="5">
        <v>1470208.347542</v>
      </c>
      <c r="D5" s="4">
        <f t="shared" si="1"/>
        <v>1.470208348</v>
      </c>
    </row>
    <row r="6">
      <c r="B6" s="2" t="s">
        <v>5</v>
      </c>
      <c r="C6" s="3">
        <v>2766317.350663</v>
      </c>
      <c r="D6" s="4">
        <f t="shared" si="1"/>
        <v>2.766317351</v>
      </c>
    </row>
    <row r="7">
      <c r="B7" s="2" t="s">
        <v>6</v>
      </c>
      <c r="C7" s="6">
        <v>1145556.188854</v>
      </c>
      <c r="D7" s="4">
        <f t="shared" si="1"/>
        <v>1.145556189</v>
      </c>
    </row>
    <row r="8">
      <c r="B8" s="2" t="s">
        <v>7</v>
      </c>
      <c r="C8" s="3">
        <v>1701999.190444</v>
      </c>
      <c r="D8" s="4">
        <f t="shared" si="1"/>
        <v>1.70199919</v>
      </c>
    </row>
    <row r="9">
      <c r="B9" s="2" t="s">
        <v>8</v>
      </c>
      <c r="C9" s="6">
        <v>2863603.014478</v>
      </c>
      <c r="D9" s="4">
        <f t="shared" si="1"/>
        <v>2.863603014</v>
      </c>
    </row>
    <row r="10">
      <c r="B10" s="2" t="s">
        <v>9</v>
      </c>
      <c r="C10" s="3">
        <v>5089849.950867</v>
      </c>
      <c r="D10" s="4">
        <f t="shared" si="1"/>
        <v>5.089849951</v>
      </c>
    </row>
    <row r="11">
      <c r="B11" s="2" t="s">
        <v>10</v>
      </c>
      <c r="C11" s="3">
        <v>5334213.940954</v>
      </c>
      <c r="D11" s="4">
        <f t="shared" si="1"/>
        <v>5.334213941</v>
      </c>
    </row>
    <row r="12">
      <c r="B12" s="2" t="s">
        <v>11</v>
      </c>
      <c r="C12" s="3">
        <v>1034847.503073</v>
      </c>
      <c r="D12" s="4">
        <f t="shared" si="1"/>
        <v>1.034847503</v>
      </c>
    </row>
    <row r="13">
      <c r="B13" s="7"/>
      <c r="C13" s="8"/>
      <c r="D13" s="9"/>
    </row>
    <row r="14">
      <c r="C14" s="10" t="s">
        <v>12</v>
      </c>
      <c r="D14" s="11">
        <f>D4+D5+D6+D7+D8+D9+D10+D11+D12</f>
        <v>21.48110951</v>
      </c>
    </row>
    <row r="15">
      <c r="B15" s="12" t="s">
        <v>13</v>
      </c>
    </row>
    <row r="16">
      <c r="D16" s="9"/>
    </row>
    <row r="17">
      <c r="D17" s="9"/>
    </row>
    <row r="18">
      <c r="D18" s="9"/>
    </row>
    <row r="19">
      <c r="D19" s="9"/>
    </row>
    <row r="20">
      <c r="D20" s="9"/>
    </row>
    <row r="21">
      <c r="B21" s="1" t="s">
        <v>14</v>
      </c>
      <c r="C21" s="1" t="s">
        <v>1</v>
      </c>
      <c r="D21" s="1" t="s">
        <v>2</v>
      </c>
    </row>
    <row r="22">
      <c r="B22" s="2" t="s">
        <v>15</v>
      </c>
      <c r="C22" s="13">
        <v>2194751.577595</v>
      </c>
      <c r="D22" s="4">
        <f t="shared" ref="D22:D26" si="2">C22/1000000</f>
        <v>2.194751578</v>
      </c>
    </row>
    <row r="23">
      <c r="B23" s="2" t="s">
        <v>16</v>
      </c>
      <c r="C23" s="13">
        <v>9238813.552371</v>
      </c>
      <c r="D23" s="4">
        <f t="shared" si="2"/>
        <v>9.238813552</v>
      </c>
    </row>
    <row r="24">
      <c r="B24" s="2" t="s">
        <v>17</v>
      </c>
      <c r="C24" s="13">
        <v>6924929.530341</v>
      </c>
      <c r="D24" s="4">
        <f t="shared" si="2"/>
        <v>6.92492953</v>
      </c>
    </row>
    <row r="25">
      <c r="B25" s="2" t="s">
        <v>18</v>
      </c>
      <c r="C25" s="14">
        <v>2736946.678778</v>
      </c>
      <c r="D25" s="4">
        <f t="shared" si="2"/>
        <v>2.736946679</v>
      </c>
    </row>
    <row r="26">
      <c r="B26" s="2" t="s">
        <v>19</v>
      </c>
      <c r="C26" s="13">
        <v>385668.167271</v>
      </c>
      <c r="D26" s="4">
        <f t="shared" si="2"/>
        <v>0.3856681673</v>
      </c>
    </row>
    <row r="27">
      <c r="C27" s="15" t="s">
        <v>12</v>
      </c>
      <c r="D27" s="11">
        <f>D22+D23+D24+D25+D26</f>
        <v>21.48110951</v>
      </c>
    </row>
  </sheetData>
  <mergeCells count="1">
    <mergeCell ref="C15:I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